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0\Desktop\sql practice\student+performance\Analysis files\"/>
    </mc:Choice>
  </mc:AlternateContent>
  <xr:revisionPtr revIDLastSave="0" documentId="13_ncr:2001_{C77EB131-252A-47B7-AA67-53C49EA6BB68}" xr6:coauthVersionLast="47" xr6:coauthVersionMax="47" xr10:uidLastSave="{00000000-0000-0000-0000-000000000000}"/>
  <bookViews>
    <workbookView xWindow="-108" yWindow="-108" windowWidth="23256" windowHeight="12456" tabRatio="821" xr2:uid="{884BA873-E58E-4001-9899-82BF8B886A8B}"/>
  </bookViews>
  <sheets>
    <sheet name="Dashboard" sheetId="7" r:id="rId1"/>
    <sheet name="Study time vs G3" sheetId="8" r:id="rId2"/>
    <sheet name="School support vs G3" sheetId="5" r:id="rId3"/>
    <sheet name="Male vs female in G3" sheetId="4" r:id="rId4"/>
    <sheet name="Failures vs G3" sheetId="3" r:id="rId5"/>
    <sheet name="Absences vs G3" sheetId="2" r:id="rId6"/>
  </sheets>
  <definedNames>
    <definedName name="ExternalData_1" localSheetId="5" hidden="1">'Absences vs G3'!$A$1:$C$5</definedName>
    <definedName name="ExternalData_2" localSheetId="4" hidden="1">'Failures vs G3'!$A$1:$C$5</definedName>
    <definedName name="ExternalData_3" localSheetId="3" hidden="1">'Male vs female in G3'!$A$1:$C$3</definedName>
    <definedName name="ExternalData_4" localSheetId="2" hidden="1">'School support vs G3'!$A$1:$C$3</definedName>
    <definedName name="ExternalData_6" localSheetId="1" hidden="1">'Study time vs G3'!$A$1:$D$9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CF37E5-368D-43CE-9883-8106B017BC7B}" keepAlive="1" name="Query - Absences vs G3" description="Connection to the 'Absences vs G3' query in the workbook." type="5" refreshedVersion="8" background="1" saveData="1">
    <dbPr connection="Provider=Microsoft.Mashup.OleDb.1;Data Source=$Workbook$;Location=&quot;Absences vs G3&quot;;Extended Properties=&quot;&quot;" command="SELECT * FROM [Absences vs G3]"/>
  </connection>
  <connection id="2" xr16:uid="{9F412D23-DA78-448E-BB51-619285675AB8}" keepAlive="1" name="Query - Failures vs G3" description="Connection to the 'Failures vs G3' query in the workbook." type="5" refreshedVersion="8" background="1" saveData="1">
    <dbPr connection="Provider=Microsoft.Mashup.OleDb.1;Data Source=$Workbook$;Location=&quot;Failures vs G3&quot;;Extended Properties=&quot;&quot;" command="SELECT * FROM [Failures vs G3]"/>
  </connection>
  <connection id="3" xr16:uid="{6FA97906-3F25-44AE-BEF8-F75A6D08F390}" keepAlive="1" name="Query - Male vs female in G3" description="Connection to the 'Male vs female in G3' query in the workbook." type="5" refreshedVersion="8" background="1" saveData="1">
    <dbPr connection="Provider=Microsoft.Mashup.OleDb.1;Data Source=$Workbook$;Location=&quot;Male vs female in G3&quot;;Extended Properties=&quot;&quot;" command="SELECT * FROM [Male vs female in G3]"/>
  </connection>
  <connection id="4" xr16:uid="{045CF34A-394F-427E-BB20-714A1362AC66}" keepAlive="1" name="Query - School support vs G3" description="Connection to the 'School support vs G3' query in the workbook." type="5" refreshedVersion="8" background="1" saveData="1">
    <dbPr connection="Provider=Microsoft.Mashup.OleDb.1;Data Source=$Workbook$;Location=&quot;School support vs G3&quot;;Extended Properties=&quot;&quot;" command="SELECT * FROM [School support vs G3]"/>
  </connection>
  <connection id="5" xr16:uid="{327E68DE-9E1B-4C0D-9C46-DF1DE1762828}" keepAlive="1" name="Query - Study time vs G3" description="Connection to the 'Study time vs G3' query in the workbook." type="5" refreshedVersion="8" background="1" saveData="1">
    <dbPr connection="Provider=Microsoft.Mashup.OleDb.1;Data Source=$Workbook$;Location=&quot;Study time vs G3&quot;;Extended Properties=&quot;&quot;" command="SELECT * FROM [Study time vs G3]"/>
  </connection>
</connections>
</file>

<file path=xl/sharedStrings.xml><?xml version="1.0" encoding="utf-8"?>
<sst xmlns="http://schemas.openxmlformats.org/spreadsheetml/2006/main" count="38" uniqueCount="26">
  <si>
    <t>absences_group</t>
  </si>
  <si>
    <t>student_count</t>
  </si>
  <si>
    <t>1-5</t>
  </si>
  <si>
    <t>6-10</t>
  </si>
  <si>
    <t>10+</t>
  </si>
  <si>
    <t>0</t>
  </si>
  <si>
    <t>failures</t>
  </si>
  <si>
    <t>schoolsup</t>
  </si>
  <si>
    <t>no</t>
  </si>
  <si>
    <t>yes</t>
  </si>
  <si>
    <t>studytime</t>
  </si>
  <si>
    <t>avg_grade</t>
  </si>
  <si>
    <t>Student Performance Analysis Dashboard</t>
  </si>
  <si>
    <t>Highest performance observed at 5-10 hrs of study.</t>
  </si>
  <si>
    <t>Moderate absences were associated with better performance</t>
  </si>
  <si>
    <t>A decline in grades is observed as the number of past failures increases.</t>
  </si>
  <si>
    <t>Students without school support achieved higher average grades. This may indicate that support is typically provided to students who are already struggling academically.</t>
  </si>
  <si>
    <t>Male students achieved slightly higher average grades than female students.</t>
  </si>
  <si>
    <t>subject</t>
  </si>
  <si>
    <t>Math</t>
  </si>
  <si>
    <t>Portuegese</t>
  </si>
  <si>
    <t>avg_g3</t>
  </si>
  <si>
    <t>count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</si>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</sst>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rPr>
              <a:t>SCHOOL SUPPORT VS AVG GRADE</a:t>
            </a:r>
          </a:p>
        </c:rich>
      </c:tx>
      <c:layout>
        <c:manualLayout>
          <c:xMode val="edge"/>
          <c:yMode val="edge"/>
          <c:x val="0.30041737017341769"/>
          <c:y val="5.0170653573246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1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reflection endPos="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27819444444444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'School support vs G3'!$B$1</c:f>
              <c:strCache>
                <c:ptCount val="1"/>
                <c:pt idx="0">
                  <c:v>avg_g3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'School support vs G3'!$A$2:$A$3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'School support vs G3'!$B$2:$B$3</c:f>
              <c:numCache>
                <c:formatCode>General</c:formatCode>
                <c:ptCount val="2"/>
                <c:pt idx="0">
                  <c:v>10.561046511627907</c:v>
                </c:pt>
                <c:pt idx="1">
                  <c:v>9.4313725490196081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1-43CB-889A-53A3D9672FD9}"/>
            </c:ext>
          </c:extLst>
        </c:ser>
        <c:ser>
          <c:idx val="1"/>
          <c:order val="1"/>
          <c:tx>
            <c:strRef>
              <c:f>'School support vs G3'!$C$1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'School support vs G3'!$A$2:$A$3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'School support vs G3'!$C$2:$C$3</c:f>
              <c:numCache>
                <c:formatCode>General</c:formatCode>
                <c:ptCount val="2"/>
                <c:pt idx="0">
                  <c:v>344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1-43CB-889A-53A3D9672F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81895616"/>
        <c:axId val="381895136"/>
      </c:barChart>
      <c:catAx>
        <c:axId val="38189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895136"/>
        <c:crosses val="autoZero"/>
        <c:auto val="1"/>
        <c:lblAlgn val="ctr"/>
        <c:lblOffset val="100"/>
        <c:noMultiLvlLbl val="0"/>
      </c:catAx>
      <c:valAx>
        <c:axId val="381895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189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1645600913112314E-2"/>
          <c:y val="2.8239174475814099E-2"/>
          <c:w val="0.24439427416205745"/>
          <c:h val="0.19324640871503967"/>
        </c:manualLayout>
      </c:layout>
      <c:overlay val="1"/>
      <c:spPr>
        <a:noFill/>
        <a:ln cmpd="tri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rPr>
              <a:t>Gender vs avg grade</a:t>
            </a:r>
          </a:p>
        </c:rich>
      </c:tx>
      <c:layout>
        <c:manualLayout>
          <c:xMode val="edge"/>
          <c:yMode val="edge"/>
          <c:x val="0.67711111111111111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1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reflection endPos="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'Male vs female in G3'!$B$1</c:f>
              <c:strCache>
                <c:ptCount val="1"/>
                <c:pt idx="0">
                  <c:v>avg_g3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'Male vs female in G3'!$A$2:$A$3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'Male vs female in G3'!$B$2:$B$3</c:f>
              <c:numCache>
                <c:formatCode>General</c:formatCode>
                <c:ptCount val="2"/>
                <c:pt idx="0">
                  <c:v>9.9663461538461533</c:v>
                </c:pt>
                <c:pt idx="1">
                  <c:v>10.914438502673796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2-46BA-B8F2-23E5BC71AF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0367600"/>
        <c:axId val="2110369040"/>
      </c:barChart>
      <c:catAx>
        <c:axId val="211036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9040"/>
        <c:crosses val="autoZero"/>
        <c:auto val="1"/>
        <c:lblAlgn val="ctr"/>
        <c:lblOffset val="100"/>
        <c:noMultiLvlLbl val="0"/>
      </c:catAx>
      <c:valAx>
        <c:axId val="2110369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03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2222222222222223E-2"/>
          <c:y val="2.5601851851851851E-2"/>
          <c:w val="0.19794444444444445"/>
          <c:h val="0.1521996208807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rPr>
              <a:t>failures vs avg grade</a:t>
            </a:r>
          </a:p>
        </c:rich>
      </c:tx>
      <c:layout>
        <c:manualLayout>
          <c:xMode val="edge"/>
          <c:yMode val="edge"/>
          <c:x val="0.46836165769859933"/>
          <c:y val="3.77358490566037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1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reflection endPos="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'Failures vs G3'!$B$1</c:f>
              <c:strCache>
                <c:ptCount val="1"/>
                <c:pt idx="0">
                  <c:v>avg_g3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'Failures vs G3'!$A$2:$A$5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'Failures vs G3'!$B$2:$B$5</c:f>
              <c:numCache>
                <c:formatCode>General</c:formatCode>
                <c:ptCount val="4"/>
                <c:pt idx="0">
                  <c:v>11.253205128205128</c:v>
                </c:pt>
                <c:pt idx="1">
                  <c:v>8.1199999999999992</c:v>
                </c:pt>
                <c:pt idx="2">
                  <c:v>6.2352941176470589</c:v>
                </c:pt>
                <c:pt idx="3">
                  <c:v>5.6875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F-4632-A43B-05F60BD35F21}"/>
            </c:ext>
          </c:extLst>
        </c:ser>
        <c:ser>
          <c:idx val="1"/>
          <c:order val="1"/>
          <c:tx>
            <c:strRef>
              <c:f>'Failures vs G3'!$C$1</c:f>
              <c:strCache>
                <c:ptCount val="1"/>
                <c:pt idx="0">
                  <c:v>student_count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'Failures vs G3'!$A$2:$A$5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'Failures vs G3'!$C$2:$C$5</c:f>
              <c:numCache>
                <c:formatCode>General</c:formatCode>
                <c:ptCount val="4"/>
                <c:pt idx="0">
                  <c:v>312</c:v>
                </c:pt>
                <c:pt idx="1">
                  <c:v>50</c:v>
                </c:pt>
                <c:pt idx="2">
                  <c:v>17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F-4632-A43B-05F60BD35F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44838832"/>
        <c:axId val="444829712"/>
      </c:barChart>
      <c:catAx>
        <c:axId val="44483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829712"/>
        <c:crosses val="autoZero"/>
        <c:auto val="1"/>
        <c:lblAlgn val="ctr"/>
        <c:lblOffset val="100"/>
        <c:noMultiLvlLbl val="0"/>
      </c:catAx>
      <c:valAx>
        <c:axId val="4448297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48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0472222222222235E-2"/>
          <c:y val="3.4398148148148143E-2"/>
          <c:w val="0.20072222222222225"/>
          <c:h val="0.15219962088072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rPr>
              <a:t>Absences vs avg grade</a:t>
            </a:r>
          </a:p>
        </c:rich>
      </c:tx>
      <c:layout>
        <c:manualLayout>
          <c:xMode val="edge"/>
          <c:yMode val="edge"/>
          <c:x val="0.5531456692913385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1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reflection endPos="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'Absences vs G3'!$B$1</c:f>
              <c:strCache>
                <c:ptCount val="1"/>
                <c:pt idx="0">
                  <c:v>avg_g3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'Absences vs G3'!$A$2:$A$5</c:f>
              <c:strCache>
                <c:ptCount val="4"/>
                <c:pt idx="0">
                  <c:v>1-5</c:v>
                </c:pt>
                <c:pt idx="1">
                  <c:v>6-10</c:v>
                </c:pt>
                <c:pt idx="2">
                  <c:v>10+</c:v>
                </c:pt>
                <c:pt idx="3">
                  <c:v>0</c:v>
                </c:pt>
              </c:strCache>
            </c:strRef>
          </c:cat>
          <c:val>
            <c:numRef>
              <c:f>'Absences vs G3'!$B$2:$B$5</c:f>
              <c:numCache>
                <c:formatCode>General</c:formatCode>
                <c:ptCount val="4"/>
                <c:pt idx="0">
                  <c:v>11.649253731343284</c:v>
                </c:pt>
                <c:pt idx="1">
                  <c:v>11.4</c:v>
                </c:pt>
                <c:pt idx="2">
                  <c:v>10.151515151515152</c:v>
                </c:pt>
                <c:pt idx="3">
                  <c:v>8.4434782608695649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E-4EC5-9878-155496FCA1F6}"/>
            </c:ext>
          </c:extLst>
        </c:ser>
        <c:ser>
          <c:idx val="1"/>
          <c:order val="1"/>
          <c:tx>
            <c:strRef>
              <c:f>'Absences vs G3'!$C$1</c:f>
              <c:strCache>
                <c:ptCount val="1"/>
                <c:pt idx="0">
                  <c:v>student_count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'Absences vs G3'!$A$2:$A$5</c:f>
              <c:strCache>
                <c:ptCount val="4"/>
                <c:pt idx="0">
                  <c:v>1-5</c:v>
                </c:pt>
                <c:pt idx="1">
                  <c:v>6-10</c:v>
                </c:pt>
                <c:pt idx="2">
                  <c:v>10+</c:v>
                </c:pt>
                <c:pt idx="3">
                  <c:v>0</c:v>
                </c:pt>
              </c:strCache>
            </c:strRef>
          </c:cat>
          <c:val>
            <c:numRef>
              <c:f>'Absences vs G3'!$C$2:$C$5</c:f>
              <c:numCache>
                <c:formatCode>General</c:formatCode>
                <c:ptCount val="4"/>
                <c:pt idx="0">
                  <c:v>134</c:v>
                </c:pt>
                <c:pt idx="1">
                  <c:v>80</c:v>
                </c:pt>
                <c:pt idx="2">
                  <c:v>66</c:v>
                </c:pt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E-4EC5-9878-155496FCA1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49917856"/>
        <c:axId val="449915456"/>
      </c:barChart>
      <c:catAx>
        <c:axId val="44991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915456"/>
        <c:crosses val="autoZero"/>
        <c:auto val="1"/>
        <c:lblAlgn val="ctr"/>
        <c:lblOffset val="100"/>
        <c:noMultiLvlLbl val="0"/>
      </c:catAx>
      <c:valAx>
        <c:axId val="449915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99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7694444444444457E-2"/>
          <c:y val="3.9490740740740743E-2"/>
          <c:w val="0.20350000000000001"/>
          <c:h val="0.16145888013998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IN" sz="11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>
                  <a:reflection endPos="0" dir="5400000" sy="-100000" algn="bl" rotWithShape="0"/>
                </a:effectLst>
                <a:latin typeface="+mn-lt"/>
                <a:ea typeface="+mn-ea"/>
                <a:cs typeface="+mn-cs"/>
              </a:rPr>
              <a:t>Studytime vs grade</a:t>
            </a:r>
          </a:p>
        </c:rich>
      </c:tx>
      <c:layout>
        <c:manualLayout>
          <c:xMode val="edge"/>
          <c:yMode val="edge"/>
          <c:x val="0.59638028319944425"/>
          <c:y val="4.8340070492764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1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reflection endPos="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" sourceLinked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971035244732508E-2"/>
          <c:y val="0.35965726128759679"/>
          <c:w val="0.94796893822379547"/>
          <c:h val="0.51478130875982975"/>
        </c:manualLayout>
      </c:layout>
      <c:barChart>
        <c:barDir val="col"/>
        <c:grouping val="clustered"/>
        <c:varyColors val="0"/>
        <c:ser>
          <c:idx val="0"/>
          <c:order val="0"/>
          <c:tx>
            <c:v>Math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10.047619047619047</c:v>
              </c:pt>
              <c:pt idx="1">
                <c:v>10.171717171717171</c:v>
              </c:pt>
              <c:pt idx="2">
                <c:v>11.4</c:v>
              </c:pt>
              <c:pt idx="3">
                <c:v>11.25925925925926</c:v>
              </c:pt>
            </c:numLit>
          </c:val>
          <c:extLst>
            <c:ext xmlns:c16="http://schemas.microsoft.com/office/drawing/2014/chart" uri="{C3380CC4-5D6E-409C-BE32-E72D297353CC}">
              <c16:uniqueId val="{00000000-4AA3-482E-A4F0-66D9BDF8E395}"/>
            </c:ext>
          </c:extLst>
        </c:ser>
        <c:ser>
          <c:idx val="1"/>
          <c:order val="1"/>
          <c:tx>
            <c:v>Portuegese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10.84433962264151</c:v>
              </c:pt>
              <c:pt idx="1">
                <c:v>12.091803278688525</c:v>
              </c:pt>
              <c:pt idx="2">
                <c:v>13.226804123711339</c:v>
              </c:pt>
              <c:pt idx="3">
                <c:v>13.057142857142857</c:v>
              </c:pt>
            </c:numLit>
          </c:val>
          <c:extLst>
            <c:ext xmlns:c16="http://schemas.microsoft.com/office/drawing/2014/chart" uri="{C3380CC4-5D6E-409C-BE32-E72D297353CC}">
              <c16:uniqueId val="{00000001-4AA3-482E-A4F0-66D9BDF8E3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868833423"/>
        <c:axId val="868841583"/>
      </c:barChart>
      <c:catAx>
        <c:axId val="86883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841583"/>
        <c:crosses val="autoZero"/>
        <c:auto val="1"/>
        <c:lblAlgn val="ctr"/>
        <c:lblOffset val="100"/>
        <c:noMultiLvlLbl val="0"/>
      </c:catAx>
      <c:valAx>
        <c:axId val="868841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883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1121139449120914E-2"/>
          <c:y val="4.7178195963794439E-2"/>
          <c:w val="0.1796166359422858"/>
          <c:h val="0.20457651053204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484094</xdr:colOff>
      <xdr:row>17</xdr:row>
      <xdr:rowOff>129540</xdr:rowOff>
    </xdr:from>
    <xdr:to>
      <xdr:col>14</xdr:col>
      <xdr:colOff>396240</xdr:colOff>
      <xdr:row>29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2EB76B-6647-463B-8749-D8C00AE5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153747</xdr:rowOff>
    </xdr:from>
    <xdr:to>
      <xdr:col>21</xdr:col>
      <xdr:colOff>129540</xdr:colOff>
      <xdr:row>13</xdr:row>
      <xdr:rowOff>105336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687CDC-25A4-4276-8F06-3CF107884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129541</xdr:rowOff>
    </xdr:from>
    <xdr:to>
      <xdr:col>7</xdr:col>
      <xdr:colOff>385482</xdr:colOff>
      <xdr:row>29</xdr:row>
      <xdr:rowOff>90096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F11F6D-8D45-48E7-8695-C34F833B1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118783</xdr:colOff>
      <xdr:row>2</xdr:row>
      <xdr:rowOff>10309</xdr:rowOff>
    </xdr:from>
    <xdr:to>
      <xdr:col>14</xdr:col>
      <xdr:colOff>360830</xdr:colOff>
      <xdr:row>13</xdr:row>
      <xdr:rowOff>130884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9C5409-B012-4AB6-9E76-9CA9A469E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7</xdr:col>
      <xdr:colOff>62752</xdr:colOff>
      <xdr:row>13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6C2011-79E5-41B1-BD4B-E46F18BEE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F5B7E238-7D14-479C-84A8-A17D9249D7B1}" autoFormatId="16" applyNumberFormats="0" applyBorderFormats="0" applyFontFormats="0" applyPatternFormats="0" applyAlignmentFormats="0" applyWidthHeightFormats="0">
  <queryTableRefresh nextId="6">
    <queryTableFields count="4">
      <queryTableField id="4" name="subject" tableColumnId="4"/>
      <queryTableField id="1" name="studytime" tableColumnId="1"/>
      <queryTableField id="2" name="avg_grade" tableColumnId="2"/>
      <queryTableField id="3" name="student_c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6909289-9551-42CC-8093-3514BF3BE770}" autoFormatId="16" applyNumberFormats="0" applyBorderFormats="0" applyFontFormats="0" applyPatternFormats="0" applyAlignmentFormats="0" applyWidthHeightFormats="0">
  <queryTableRefresh nextId="4">
    <queryTableFields count="3">
      <queryTableField id="1" name="schoolsup" tableColumnId="1"/>
      <queryTableField id="2" name="avg_g3" tableColumnId="2"/>
      <queryTableField id="3" name="c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0127615-5430-4DBA-9BDB-22B373B81F1A}" autoFormatId="16" applyNumberFormats="0" applyBorderFormats="0" applyFontFormats="0" applyPatternFormats="0" applyAlignmentFormats="0" applyWidthHeightFormats="0">
  <queryTableRefresh nextId="4">
    <queryTableFields count="3">
      <queryTableField id="1" name="sex" tableColumnId="1"/>
      <queryTableField id="2" name="avg_g3" tableColumnId="2"/>
      <queryTableField id="3" name="student_cou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FE7FE1E-0E1D-4F76-9B8B-9BB9E624C1D4}" autoFormatId="16" applyNumberFormats="0" applyBorderFormats="0" applyFontFormats="0" applyPatternFormats="0" applyAlignmentFormats="0" applyWidthHeightFormats="0">
  <queryTableRefresh nextId="4">
    <queryTableFields count="3">
      <queryTableField id="1" name="failures" tableColumnId="1"/>
      <queryTableField id="2" name="avg_g3" tableColumnId="2"/>
      <queryTableField id="3" name="student_cou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DF514B-DE87-4CB3-9DF5-3BDFEDE41DD4}" autoFormatId="16" applyNumberFormats="0" applyBorderFormats="0" applyFontFormats="0" applyPatternFormats="0" applyAlignmentFormats="0" applyWidthHeightFormats="0">
  <queryTableRefresh nextId="4">
    <queryTableFields count="3">
      <queryTableField id="1" name="absences_group" tableColumnId="1"/>
      <queryTableField id="2" name="avg_g3" tableColumnId="2"/>
      <queryTableField id="3" name="student_c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C75FBB-5B6D-4533-87B7-125E72D9EE1C}" name="Study_time_vs_G3_1" displayName="Study_time_vs_G3_1" ref="A1:D9" tableType="queryTable" totalsRowShown="0">
  <autoFilter ref="A1:D9" xr:uid="{F3C75FBB-5B6D-4533-87B7-125E72D9EE1C}"/>
  <tableColumns count="4">
    <tableColumn id="4" xr3:uid="{187C1FC1-45EB-4D89-8F6F-14200C5D437A}" uniqueName="4" name="subject" queryTableFieldId="4" dataDxfId="0"/>
    <tableColumn id="1" xr3:uid="{A89655F7-3C7E-4AA4-9606-77AB82BBEFD0}" uniqueName="1" name="studytime" queryTableFieldId="1"/>
    <tableColumn id="2" xr3:uid="{BC870DA4-CAFF-476C-9142-30EBFF6F0FD3}" uniqueName="2" name="avg_grade" queryTableFieldId="2"/>
    <tableColumn id="3" xr3:uid="{8596D76C-2D17-4778-9291-347A5E355A15}" uniqueName="3" name="student_c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84E703-5432-4466-80D9-9FEEC7ADAB4E}" name="School_support_vs_G3" displayName="School_support_vs_G3" ref="A1:C3" tableType="queryTable" totalsRowShown="0">
  <autoFilter ref="A1:C3" xr:uid="{6484E703-5432-4466-80D9-9FEEC7ADAB4E}"/>
  <tableColumns count="3">
    <tableColumn id="1" xr3:uid="{EEB9EA51-B0EF-4A3D-B5AD-791B19E2AE6A}" uniqueName="1" name="schoolsup" queryTableFieldId="1" dataDxfId="3"/>
    <tableColumn id="2" xr3:uid="{3F2FE22B-AC1E-4D7E-8CEA-C8E144624DB4}" uniqueName="2" name="avg_g3" queryTableFieldId="2"/>
    <tableColumn id="3" xr3:uid="{CC48051A-0354-4081-B2E3-63FAA7C9077D}" uniqueName="3" name="c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267571-295E-483B-B90D-9C27EA27954D}" name="Male_vs_female_in_G3" displayName="Male_vs_female_in_G3" ref="A1:C3" tableType="queryTable" totalsRowShown="0">
  <autoFilter ref="A1:C3" xr:uid="{8C267571-295E-483B-B90D-9C27EA27954D}"/>
  <tableColumns count="3">
    <tableColumn id="1" xr3:uid="{5D0D675C-9363-4355-8211-8E29665D577E}" uniqueName="1" name="sex" queryTableFieldId="1" dataDxfId="2"/>
    <tableColumn id="2" xr3:uid="{FD5B1EDA-108B-4AD2-A62A-8A712129EB85}" uniqueName="2" name="avg_g3" queryTableFieldId="2"/>
    <tableColumn id="3" xr3:uid="{8323FBE3-25B0-4089-914C-7EC99AA5AB99}" uniqueName="3" name="student_cou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4BFC55-866D-4566-9D93-98E087898571}" name="Failures_vs_G3" displayName="Failures_vs_G3" ref="A1:C5" tableType="queryTable" totalsRowShown="0">
  <autoFilter ref="A1:C5" xr:uid="{424BFC55-866D-4566-9D93-98E087898571}"/>
  <tableColumns count="3">
    <tableColumn id="1" xr3:uid="{89E17C07-B35D-49CF-AF99-11B9FC7C6C91}" uniqueName="1" name="failures" queryTableFieldId="1"/>
    <tableColumn id="2" xr3:uid="{D41572CC-6680-4A8F-96C5-4623341F6D49}" uniqueName="2" name="avg_g3" queryTableFieldId="2"/>
    <tableColumn id="3" xr3:uid="{3DD496E3-9BC6-4180-AA02-EC708A7765CE}" uniqueName="3" name="student_coun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55BCA-CD60-4559-9D4E-9B2CB06AC749}" name="Absences_vs_G3" displayName="Absences_vs_G3" ref="A1:C5" tableType="queryTable" totalsRowShown="0">
  <autoFilter ref="A1:C5" xr:uid="{B9A55BCA-CD60-4559-9D4E-9B2CB06AC749}"/>
  <tableColumns count="3">
    <tableColumn id="1" xr3:uid="{A5C51E3F-04D9-4E4B-8763-D31A088C20E3}" uniqueName="1" name="absences_group" queryTableFieldId="1" dataDxfId="1"/>
    <tableColumn id="2" xr3:uid="{6981EDFC-B0D0-4449-9A37-F7E30D68C283}" uniqueName="2" name="avg_g3" queryTableFieldId="2"/>
    <tableColumn id="3" xr3:uid="{448CC6E9-6E92-4A9E-8743-EB83FC1E1D11}" uniqueName="3" name="student_c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B857-A82F-4E64-ACE4-01D2A206CBC0}">
  <dimension ref="A1:U33"/>
  <sheetViews>
    <sheetView tabSelected="1" zoomScale="85" zoomScaleNormal="85" workbookViewId="0">
      <selection activeCell="R22" sqref="R22"/>
    </sheetView>
  </sheetViews>
  <sheetFormatPr defaultRowHeight="14.4" x14ac:dyDescent="0.3"/>
  <cols>
    <col min="8" max="8" width="8.88671875" customWidth="1"/>
  </cols>
  <sheetData>
    <row r="1" spans="1:21" ht="25.8" x14ac:dyDescent="0.5">
      <c r="A1" s="1" t="s">
        <v>12</v>
      </c>
    </row>
    <row r="15" spans="1:21" x14ac:dyDescent="0.3">
      <c r="A15" s="3" t="s">
        <v>13</v>
      </c>
      <c r="B15" s="3"/>
      <c r="C15" s="3"/>
      <c r="D15" s="3"/>
      <c r="E15" s="3"/>
      <c r="H15" s="3" t="s">
        <v>14</v>
      </c>
      <c r="I15" s="3"/>
      <c r="J15" s="3"/>
      <c r="K15" s="3"/>
      <c r="L15" s="3"/>
      <c r="M15" s="3"/>
      <c r="P15" s="2" t="s">
        <v>17</v>
      </c>
      <c r="Q15" s="2"/>
      <c r="R15" s="2"/>
      <c r="S15" s="2"/>
      <c r="T15" s="2"/>
      <c r="U15" s="2"/>
    </row>
    <row r="16" spans="1:21" x14ac:dyDescent="0.3">
      <c r="P16" s="2"/>
      <c r="Q16" s="2"/>
      <c r="R16" s="2"/>
      <c r="S16" s="2"/>
      <c r="T16" s="2"/>
      <c r="U16" s="2"/>
    </row>
    <row r="31" spans="1:15" ht="14.4" customHeight="1" x14ac:dyDescent="0.3">
      <c r="A31" t="s">
        <v>15</v>
      </c>
      <c r="I31" s="2" t="s">
        <v>16</v>
      </c>
      <c r="J31" s="2"/>
      <c r="K31" s="2"/>
      <c r="L31" s="2"/>
      <c r="M31" s="2"/>
      <c r="N31" s="2"/>
      <c r="O31" s="2"/>
    </row>
    <row r="32" spans="1:15" x14ac:dyDescent="0.3">
      <c r="I32" s="2"/>
      <c r="J32" s="2"/>
      <c r="K32" s="2"/>
      <c r="L32" s="2"/>
      <c r="M32" s="2"/>
      <c r="N32" s="2"/>
      <c r="O32" s="2"/>
    </row>
    <row r="33" spans="9:15" x14ac:dyDescent="0.3">
      <c r="I33" s="2"/>
      <c r="J33" s="2"/>
      <c r="K33" s="2"/>
      <c r="L33" s="2"/>
      <c r="M33" s="2"/>
      <c r="N33" s="2"/>
      <c r="O33" s="2"/>
    </row>
  </sheetData>
  <mergeCells count="4">
    <mergeCell ref="P15:U16"/>
    <mergeCell ref="H15:M15"/>
    <mergeCell ref="I31:O33"/>
    <mergeCell ref="A15:E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E806-92DB-45E2-9517-3975419C2DC7}">
  <dimension ref="A1:D9"/>
  <sheetViews>
    <sheetView workbookViewId="0">
      <selection activeCell="M4" sqref="M4:P10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2" bestFit="1" customWidth="1"/>
    <col min="4" max="4" width="15.6640625" bestFit="1" customWidth="1"/>
    <col min="13" max="13" width="16.33203125" bestFit="1" customWidth="1"/>
    <col min="14" max="14" width="15.5546875" bestFit="1" customWidth="1"/>
    <col min="15" max="17" width="12" bestFit="1" customWidth="1"/>
  </cols>
  <sheetData>
    <row r="1" spans="1:4" x14ac:dyDescent="0.3">
      <c r="A1" t="s">
        <v>18</v>
      </c>
      <c r="B1" t="s">
        <v>10</v>
      </c>
      <c r="C1" t="s">
        <v>11</v>
      </c>
      <c r="D1" t="s">
        <v>1</v>
      </c>
    </row>
    <row r="2" spans="1:4" x14ac:dyDescent="0.3">
      <c r="A2" s="4" t="s">
        <v>19</v>
      </c>
      <c r="B2">
        <v>1</v>
      </c>
      <c r="C2">
        <v>10.047619047619047</v>
      </c>
      <c r="D2">
        <v>105</v>
      </c>
    </row>
    <row r="3" spans="1:4" x14ac:dyDescent="0.3">
      <c r="A3" s="4" t="s">
        <v>19</v>
      </c>
      <c r="B3">
        <v>3</v>
      </c>
      <c r="C3">
        <v>11.4</v>
      </c>
      <c r="D3">
        <v>65</v>
      </c>
    </row>
    <row r="4" spans="1:4" x14ac:dyDescent="0.3">
      <c r="A4" s="4" t="s">
        <v>19</v>
      </c>
      <c r="B4">
        <v>4</v>
      </c>
      <c r="C4">
        <v>11.25925925925926</v>
      </c>
      <c r="D4">
        <v>27</v>
      </c>
    </row>
    <row r="5" spans="1:4" x14ac:dyDescent="0.3">
      <c r="A5" s="4" t="s">
        <v>19</v>
      </c>
      <c r="B5">
        <v>2</v>
      </c>
      <c r="C5">
        <v>10.171717171717171</v>
      </c>
      <c r="D5">
        <v>198</v>
      </c>
    </row>
    <row r="6" spans="1:4" x14ac:dyDescent="0.3">
      <c r="A6" s="4" t="s">
        <v>20</v>
      </c>
      <c r="B6">
        <v>1</v>
      </c>
      <c r="C6">
        <v>10.84433962264151</v>
      </c>
      <c r="D6">
        <v>212</v>
      </c>
    </row>
    <row r="7" spans="1:4" x14ac:dyDescent="0.3">
      <c r="A7" s="4" t="s">
        <v>20</v>
      </c>
      <c r="B7">
        <v>3</v>
      </c>
      <c r="C7">
        <v>13.226804123711339</v>
      </c>
      <c r="D7">
        <v>97</v>
      </c>
    </row>
    <row r="8" spans="1:4" x14ac:dyDescent="0.3">
      <c r="A8" s="4" t="s">
        <v>20</v>
      </c>
      <c r="B8">
        <v>4</v>
      </c>
      <c r="C8">
        <v>13.057142857142857</v>
      </c>
      <c r="D8">
        <v>35</v>
      </c>
    </row>
    <row r="9" spans="1:4" x14ac:dyDescent="0.3">
      <c r="A9" s="4" t="s">
        <v>20</v>
      </c>
      <c r="B9">
        <v>2</v>
      </c>
      <c r="C9">
        <v>12.091803278688525</v>
      </c>
      <c r="D9">
        <v>305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6BC6-FF97-43D5-B8D4-BB378B74CAFF}">
  <dimension ref="A1:C3"/>
  <sheetViews>
    <sheetView workbookViewId="0">
      <selection activeCell="C2" sqref="C2"/>
    </sheetView>
  </sheetViews>
  <sheetFormatPr defaultRowHeight="14.4" x14ac:dyDescent="0.3"/>
  <cols>
    <col min="1" max="1" width="11.6640625" bestFit="1" customWidth="1"/>
    <col min="2" max="2" width="12" bestFit="1" customWidth="1"/>
    <col min="3" max="3" width="8.109375" bestFit="1" customWidth="1"/>
  </cols>
  <sheetData>
    <row r="1" spans="1:3" x14ac:dyDescent="0.3">
      <c r="A1" t="s">
        <v>7</v>
      </c>
      <c r="B1" t="s">
        <v>21</v>
      </c>
      <c r="C1" t="s">
        <v>22</v>
      </c>
    </row>
    <row r="2" spans="1:3" x14ac:dyDescent="0.3">
      <c r="A2" t="s">
        <v>8</v>
      </c>
      <c r="B2">
        <v>10.561046511627907</v>
      </c>
      <c r="C2">
        <v>344</v>
      </c>
    </row>
    <row r="3" spans="1:3" x14ac:dyDescent="0.3">
      <c r="A3" t="s">
        <v>9</v>
      </c>
      <c r="B3">
        <v>9.4313725490196081</v>
      </c>
      <c r="C3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5196-2AB0-4D84-A550-683A51884C90}">
  <dimension ref="A1:C3"/>
  <sheetViews>
    <sheetView workbookViewId="0">
      <selection activeCell="A4" sqref="A4"/>
    </sheetView>
  </sheetViews>
  <sheetFormatPr defaultRowHeight="14.4" x14ac:dyDescent="0.3"/>
  <cols>
    <col min="1" max="1" width="5.88671875" bestFit="1" customWidth="1"/>
    <col min="2" max="2" width="12" bestFit="1" customWidth="1"/>
    <col min="3" max="3" width="15.6640625" bestFit="1" customWidth="1"/>
  </cols>
  <sheetData>
    <row r="1" spans="1:3" x14ac:dyDescent="0.3">
      <c r="A1" t="s">
        <v>23</v>
      </c>
      <c r="B1" t="s">
        <v>21</v>
      </c>
      <c r="C1" t="s">
        <v>1</v>
      </c>
    </row>
    <row r="2" spans="1:3" x14ac:dyDescent="0.3">
      <c r="A2" t="s">
        <v>24</v>
      </c>
      <c r="B2">
        <v>9.9663461538461533</v>
      </c>
      <c r="C2">
        <v>208</v>
      </c>
    </row>
    <row r="3" spans="1:3" x14ac:dyDescent="0.3">
      <c r="A3" t="s">
        <v>25</v>
      </c>
      <c r="B3">
        <v>10.914438502673796</v>
      </c>
      <c r="C3">
        <v>187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F8A3-CCAB-48F8-AADA-527BCE562C22}">
  <dimension ref="A1:C5"/>
  <sheetViews>
    <sheetView workbookViewId="0">
      <selection activeCell="B2" sqref="B2"/>
    </sheetView>
  </sheetViews>
  <sheetFormatPr defaultRowHeight="14.4" x14ac:dyDescent="0.3"/>
  <cols>
    <col min="1" max="1" width="9.33203125" bestFit="1" customWidth="1"/>
    <col min="2" max="2" width="12" bestFit="1" customWidth="1"/>
    <col min="3" max="3" width="15.6640625" bestFit="1" customWidth="1"/>
  </cols>
  <sheetData>
    <row r="1" spans="1:3" x14ac:dyDescent="0.3">
      <c r="A1" t="s">
        <v>6</v>
      </c>
      <c r="B1" t="s">
        <v>21</v>
      </c>
      <c r="C1" t="s">
        <v>1</v>
      </c>
    </row>
    <row r="2" spans="1:3" x14ac:dyDescent="0.3">
      <c r="A2">
        <v>0</v>
      </c>
      <c r="B2">
        <v>11.253205128205128</v>
      </c>
      <c r="C2">
        <v>312</v>
      </c>
    </row>
    <row r="3" spans="1:3" x14ac:dyDescent="0.3">
      <c r="A3">
        <v>1</v>
      </c>
      <c r="B3">
        <v>8.1199999999999992</v>
      </c>
      <c r="C3">
        <v>50</v>
      </c>
    </row>
    <row r="4" spans="1:3" x14ac:dyDescent="0.3">
      <c r="A4">
        <v>2</v>
      </c>
      <c r="B4">
        <v>6.2352941176470589</v>
      </c>
      <c r="C4">
        <v>17</v>
      </c>
    </row>
    <row r="5" spans="1:3" x14ac:dyDescent="0.3">
      <c r="A5">
        <v>3</v>
      </c>
      <c r="B5">
        <v>5.6875</v>
      </c>
      <c r="C5">
        <v>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7F3C-DC4E-496C-BAA3-DB0DFEA9F611}">
  <dimension ref="A1:C5"/>
  <sheetViews>
    <sheetView workbookViewId="0">
      <selection activeCell="B2" sqref="B2"/>
    </sheetView>
  </sheetViews>
  <sheetFormatPr defaultRowHeight="14.4" x14ac:dyDescent="0.3"/>
  <cols>
    <col min="1" max="1" width="17" bestFit="1" customWidth="1"/>
    <col min="2" max="2" width="12" bestFit="1" customWidth="1"/>
    <col min="3" max="3" width="15.6640625" bestFit="1" customWidth="1"/>
  </cols>
  <sheetData>
    <row r="1" spans="1:3" x14ac:dyDescent="0.3">
      <c r="A1" t="s">
        <v>0</v>
      </c>
      <c r="B1" t="s">
        <v>21</v>
      </c>
      <c r="C1" t="s">
        <v>1</v>
      </c>
    </row>
    <row r="2" spans="1:3" x14ac:dyDescent="0.3">
      <c r="A2" t="s">
        <v>2</v>
      </c>
      <c r="B2">
        <v>11.649253731343284</v>
      </c>
      <c r="C2">
        <v>134</v>
      </c>
    </row>
    <row r="3" spans="1:3" x14ac:dyDescent="0.3">
      <c r="A3" t="s">
        <v>3</v>
      </c>
      <c r="B3">
        <v>11.4</v>
      </c>
      <c r="C3">
        <v>80</v>
      </c>
    </row>
    <row r="4" spans="1:3" x14ac:dyDescent="0.3">
      <c r="A4" t="s">
        <v>4</v>
      </c>
      <c r="B4">
        <v>10.151515151515152</v>
      </c>
      <c r="C4">
        <v>66</v>
      </c>
    </row>
    <row r="5" spans="1:3" x14ac:dyDescent="0.3">
      <c r="A5" t="s">
        <v>5</v>
      </c>
      <c r="B5">
        <v>8.4434782608695649</v>
      </c>
      <c r="C5">
        <v>115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7CE0D-C3D8-43CC-87EF-9EE6656738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Study time vs G3</vt:lpstr>
      <vt:lpstr>School support vs G3</vt:lpstr>
      <vt:lpstr>Male vs female in G3</vt:lpstr>
      <vt:lpstr>Failures vs G3</vt:lpstr>
      <vt:lpstr>Absences vs G3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2026-03-22T12:31:49Z</dcterms:created>
  <dcterms:modified xsi:type="dcterms:W3CDTF">2026-03-23T14:12:29Z</dcterms:modified>
</cp:coreProperties>
</file>